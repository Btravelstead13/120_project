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vy Tech\SDEV120 - Computer Logic\Module 7\"/>
    </mc:Choice>
  </mc:AlternateContent>
  <xr:revisionPtr revIDLastSave="0" documentId="13_ncr:1_{571298E4-79B5-43E6-9D14-85137A052522}" xr6:coauthVersionLast="47" xr6:coauthVersionMax="47" xr10:uidLastSave="{00000000-0000-0000-0000-000000000000}"/>
  <bookViews>
    <workbookView xWindow="1240" yWindow="1950" windowWidth="14400" windowHeight="9340" xr2:uid="{64A9AE68-ED13-43B1-8F87-760220D7EE7F}"/>
  </bookViews>
  <sheets>
    <sheet name="Work Yea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K4" i="1" s="1"/>
  <c r="H5" i="1" s="1"/>
  <c r="D4" i="1"/>
  <c r="E4" i="1"/>
  <c r="B5" i="1" s="1"/>
  <c r="D5" i="1" l="1"/>
  <c r="E5" i="1" s="1"/>
  <c r="B6" i="1" s="1"/>
  <c r="J5" i="1"/>
  <c r="K5" i="1" s="1"/>
  <c r="H6" i="1" s="1"/>
  <c r="J6" i="1" l="1"/>
  <c r="K6" i="1" s="1"/>
  <c r="H7" i="1" s="1"/>
  <c r="J7" i="1" s="1"/>
  <c r="K7" i="1" s="1"/>
  <c r="H8" i="1" s="1"/>
  <c r="D6" i="1"/>
  <c r="E6" i="1" s="1"/>
  <c r="B7" i="1" s="1"/>
  <c r="J8" i="1" l="1"/>
  <c r="K8" i="1" s="1"/>
  <c r="H9" i="1" s="1"/>
  <c r="D7" i="1"/>
  <c r="E7" i="1" s="1"/>
  <c r="B8" i="1" s="1"/>
  <c r="J9" i="1" l="1"/>
  <c r="K9" i="1"/>
  <c r="H10" i="1" s="1"/>
  <c r="D8" i="1"/>
  <c r="E8" i="1" s="1"/>
  <c r="B9" i="1" s="1"/>
  <c r="J10" i="1" l="1"/>
  <c r="K10" i="1"/>
  <c r="H11" i="1" s="1"/>
  <c r="D9" i="1"/>
  <c r="E9" i="1"/>
  <c r="B10" i="1" s="1"/>
  <c r="J11" i="1" l="1"/>
  <c r="K11" i="1"/>
  <c r="H12" i="1" s="1"/>
  <c r="D10" i="1"/>
  <c r="E10" i="1" s="1"/>
  <c r="B11" i="1" s="1"/>
  <c r="J12" i="1" l="1"/>
  <c r="K12" i="1"/>
  <c r="H13" i="1" s="1"/>
  <c r="D11" i="1"/>
  <c r="E11" i="1"/>
  <c r="B12" i="1" s="1"/>
  <c r="J13" i="1" l="1"/>
  <c r="K13" i="1" s="1"/>
  <c r="D12" i="1"/>
  <c r="E12" i="1" s="1"/>
  <c r="B13" i="1" s="1"/>
  <c r="D13" i="1" l="1"/>
</calcChain>
</file>

<file path=xl/sharedStrings.xml><?xml version="1.0" encoding="utf-8"?>
<sst xmlns="http://schemas.openxmlformats.org/spreadsheetml/2006/main" count="12" uniqueCount="10">
  <si>
    <t>Retirement Year</t>
  </si>
  <si>
    <t>Starting Balance</t>
  </si>
  <si>
    <t>Years to Work</t>
  </si>
  <si>
    <t>Annual Savings</t>
  </si>
  <si>
    <t>End Balance</t>
  </si>
  <si>
    <t>Interest (3%)</t>
  </si>
  <si>
    <t>Start Balance</t>
  </si>
  <si>
    <t>Yearly Expenses</t>
  </si>
  <si>
    <t>10 years to work; $20,000 annual savings</t>
  </si>
  <si>
    <t>END OF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</si>
</sst>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0" applyNumberFormat="1"/>
    <xf numFmtId="44" fontId="0" fillId="0" borderId="0" xfId="1" applyFont="1"/>
    <xf numFmtId="0" fontId="2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F9870-8DA0-47BC-BA2B-91C93254AF01}">
  <dimension ref="A1:L14"/>
  <sheetViews>
    <sheetView tabSelected="1" topLeftCell="D1" workbookViewId="0">
      <selection activeCell="G10" sqref="G10"/>
    </sheetView>
  </sheetViews>
  <sheetFormatPr defaultRowHeight="14.5" x14ac:dyDescent="0.35"/>
  <cols>
    <col min="1" max="1" width="13.90625" bestFit="1" customWidth="1"/>
    <col min="2" max="2" width="13.90625" customWidth="1"/>
    <col min="3" max="3" width="13.7265625" customWidth="1"/>
    <col min="4" max="4" width="11.36328125" customWidth="1"/>
    <col min="5" max="5" width="15.453125" customWidth="1"/>
    <col min="7" max="7" width="14.26953125" customWidth="1"/>
    <col min="8" max="8" width="14.54296875" customWidth="1"/>
    <col min="9" max="9" width="14.1796875" customWidth="1"/>
    <col min="10" max="10" width="12.90625" customWidth="1"/>
    <col min="11" max="11" width="15.54296875" customWidth="1"/>
    <col min="12" max="12" width="15.81640625" customWidth="1"/>
  </cols>
  <sheetData>
    <row r="1" spans="1:12" x14ac:dyDescent="0.35">
      <c r="A1" t="s">
        <v>8</v>
      </c>
    </row>
    <row r="2" spans="1:12" x14ac:dyDescent="0.35">
      <c r="D2" s="1"/>
    </row>
    <row r="3" spans="1:12" x14ac:dyDescent="0.35">
      <c r="A3" t="s">
        <v>2</v>
      </c>
      <c r="B3" t="s">
        <v>6</v>
      </c>
      <c r="C3" t="s">
        <v>3</v>
      </c>
      <c r="D3" t="s">
        <v>5</v>
      </c>
      <c r="E3" t="s">
        <v>4</v>
      </c>
      <c r="G3" t="s">
        <v>0</v>
      </c>
      <c r="H3" t="s">
        <v>1</v>
      </c>
      <c r="I3" t="s">
        <v>7</v>
      </c>
      <c r="J3" t="s">
        <v>5</v>
      </c>
      <c r="K3" t="s">
        <v>4</v>
      </c>
    </row>
    <row r="4" spans="1:12" x14ac:dyDescent="0.35">
      <c r="A4">
        <v>10</v>
      </c>
      <c r="B4" s="2">
        <v>0</v>
      </c>
      <c r="C4" s="2">
        <v>20000</v>
      </c>
      <c r="D4" s="2">
        <f>(B4+C4)*0.03</f>
        <v>600</v>
      </c>
      <c r="E4" s="2">
        <f>B4+C4+D4</f>
        <v>20600</v>
      </c>
      <c r="G4">
        <v>0</v>
      </c>
      <c r="H4" s="2">
        <v>236155.91381629702</v>
      </c>
      <c r="I4" s="2">
        <v>60000</v>
      </c>
      <c r="J4" s="2">
        <f>(H4-I4)*0.03</f>
        <v>5284.6774144889105</v>
      </c>
      <c r="K4" s="2">
        <f>H4-I4+J4</f>
        <v>181440.59123078594</v>
      </c>
    </row>
    <row r="5" spans="1:12" x14ac:dyDescent="0.35">
      <c r="A5">
        <v>9</v>
      </c>
      <c r="B5" s="2">
        <f>E4</f>
        <v>20600</v>
      </c>
      <c r="C5" s="2">
        <v>20000</v>
      </c>
      <c r="D5" s="2">
        <f t="shared" ref="D5:D13" si="0">(B5+C5)*0.03</f>
        <v>1218</v>
      </c>
      <c r="E5" s="2">
        <f t="shared" ref="E5:E12" si="1">B5+C5+D5</f>
        <v>41818</v>
      </c>
      <c r="G5">
        <v>1</v>
      </c>
      <c r="H5" s="2">
        <f>K4</f>
        <v>181440.59123078594</v>
      </c>
      <c r="I5" s="2">
        <v>60000</v>
      </c>
      <c r="J5" s="2">
        <f t="shared" ref="J5:J13" si="2">(H5-I5)*0.03</f>
        <v>3643.2177369235783</v>
      </c>
      <c r="K5" s="2">
        <f t="shared" ref="K5:K13" si="3">H5-I5+J5</f>
        <v>125083.80896770951</v>
      </c>
    </row>
    <row r="6" spans="1:12" x14ac:dyDescent="0.35">
      <c r="A6">
        <v>8</v>
      </c>
      <c r="B6" s="2">
        <f>E5</f>
        <v>41818</v>
      </c>
      <c r="C6" s="2">
        <v>20000</v>
      </c>
      <c r="D6" s="2">
        <f t="shared" si="0"/>
        <v>1854.54</v>
      </c>
      <c r="E6" s="2">
        <f t="shared" si="1"/>
        <v>63672.54</v>
      </c>
      <c r="G6">
        <v>2</v>
      </c>
      <c r="H6" s="2">
        <f t="shared" ref="H6:H13" si="4">K5</f>
        <v>125083.80896770951</v>
      </c>
      <c r="I6" s="2">
        <v>60000</v>
      </c>
      <c r="J6" s="2">
        <f t="shared" si="2"/>
        <v>1952.5142690312853</v>
      </c>
      <c r="K6" s="2">
        <f t="shared" si="3"/>
        <v>67036.323236740791</v>
      </c>
    </row>
    <row r="7" spans="1:12" x14ac:dyDescent="0.35">
      <c r="A7">
        <v>7</v>
      </c>
      <c r="B7" s="2">
        <f t="shared" ref="B7:B13" si="5">E6</f>
        <v>63672.54</v>
      </c>
      <c r="C7" s="2">
        <v>20000</v>
      </c>
      <c r="D7" s="2">
        <f t="shared" si="0"/>
        <v>2510.1762000000003</v>
      </c>
      <c r="E7" s="2">
        <f t="shared" si="1"/>
        <v>86182.71620000001</v>
      </c>
      <c r="G7">
        <v>3</v>
      </c>
      <c r="H7" s="2">
        <f t="shared" si="4"/>
        <v>67036.323236740791</v>
      </c>
      <c r="I7" s="2">
        <v>60000</v>
      </c>
      <c r="J7" s="2">
        <f t="shared" si="2"/>
        <v>211.08969710222371</v>
      </c>
      <c r="K7" s="2">
        <f t="shared" si="3"/>
        <v>7247.4129338430148</v>
      </c>
    </row>
    <row r="8" spans="1:12" x14ac:dyDescent="0.35">
      <c r="A8">
        <v>6</v>
      </c>
      <c r="B8" s="2">
        <f t="shared" si="5"/>
        <v>86182.71620000001</v>
      </c>
      <c r="C8" s="2">
        <v>20000</v>
      </c>
      <c r="D8" s="2">
        <f t="shared" si="0"/>
        <v>3185.4814860000001</v>
      </c>
      <c r="E8" s="2">
        <f t="shared" si="1"/>
        <v>109368.19768600001</v>
      </c>
      <c r="G8">
        <v>4</v>
      </c>
      <c r="H8" s="2">
        <f t="shared" si="4"/>
        <v>7247.4129338430148</v>
      </c>
      <c r="I8" s="2">
        <v>60000</v>
      </c>
      <c r="J8" s="2">
        <f t="shared" si="2"/>
        <v>-1582.5776119847096</v>
      </c>
      <c r="K8" s="2">
        <f t="shared" si="3"/>
        <v>-54335.164678141693</v>
      </c>
      <c r="L8" s="3" t="s">
        <v>9</v>
      </c>
    </row>
    <row r="9" spans="1:12" x14ac:dyDescent="0.35">
      <c r="A9">
        <v>5</v>
      </c>
      <c r="B9" s="2">
        <f t="shared" si="5"/>
        <v>109368.19768600001</v>
      </c>
      <c r="C9" s="2">
        <v>20000</v>
      </c>
      <c r="D9" s="2">
        <f t="shared" si="0"/>
        <v>3881.0459305800005</v>
      </c>
      <c r="E9" s="2">
        <f t="shared" si="1"/>
        <v>133249.24361658</v>
      </c>
      <c r="G9">
        <v>5</v>
      </c>
      <c r="H9" s="2">
        <f t="shared" si="4"/>
        <v>-54335.164678141693</v>
      </c>
      <c r="I9" s="2">
        <v>60000</v>
      </c>
      <c r="J9" s="2">
        <f t="shared" si="2"/>
        <v>-3430.0549403442506</v>
      </c>
      <c r="K9" s="2">
        <f t="shared" si="3"/>
        <v>-117765.21961848595</v>
      </c>
    </row>
    <row r="10" spans="1:12" x14ac:dyDescent="0.35">
      <c r="A10">
        <v>4</v>
      </c>
      <c r="B10" s="2">
        <f t="shared" si="5"/>
        <v>133249.24361658</v>
      </c>
      <c r="C10" s="2">
        <v>20000</v>
      </c>
      <c r="D10" s="2">
        <f t="shared" si="0"/>
        <v>4597.4773084973995</v>
      </c>
      <c r="E10" s="2">
        <f t="shared" si="1"/>
        <v>157846.72092507739</v>
      </c>
      <c r="G10">
        <v>6</v>
      </c>
      <c r="H10" s="2">
        <f t="shared" si="4"/>
        <v>-117765.21961848595</v>
      </c>
      <c r="I10" s="2">
        <v>60000</v>
      </c>
      <c r="J10" s="2">
        <f t="shared" si="2"/>
        <v>-5332.956588554578</v>
      </c>
      <c r="K10" s="2">
        <f t="shared" si="3"/>
        <v>-183098.17620704052</v>
      </c>
    </row>
    <row r="11" spans="1:12" x14ac:dyDescent="0.35">
      <c r="A11">
        <v>3</v>
      </c>
      <c r="B11" s="2">
        <f t="shared" si="5"/>
        <v>157846.72092507739</v>
      </c>
      <c r="C11" s="2">
        <v>20000</v>
      </c>
      <c r="D11" s="2">
        <f t="shared" si="0"/>
        <v>5335.4016277523215</v>
      </c>
      <c r="E11" s="2">
        <f t="shared" si="1"/>
        <v>183182.12255282971</v>
      </c>
      <c r="G11">
        <v>7</v>
      </c>
      <c r="H11" s="2">
        <f t="shared" si="4"/>
        <v>-183098.17620704052</v>
      </c>
      <c r="I11" s="2">
        <v>60000</v>
      </c>
      <c r="J11" s="2">
        <f t="shared" si="2"/>
        <v>-7292.9452862112157</v>
      </c>
      <c r="K11" s="2">
        <f t="shared" si="3"/>
        <v>-250391.12149325173</v>
      </c>
    </row>
    <row r="12" spans="1:12" x14ac:dyDescent="0.35">
      <c r="A12">
        <v>2</v>
      </c>
      <c r="B12" s="2">
        <f t="shared" si="5"/>
        <v>183182.12255282971</v>
      </c>
      <c r="C12" s="2">
        <v>20000</v>
      </c>
      <c r="D12" s="2">
        <f t="shared" si="0"/>
        <v>6095.4636765848909</v>
      </c>
      <c r="E12" s="2">
        <f t="shared" si="1"/>
        <v>209277.58622941459</v>
      </c>
      <c r="G12">
        <v>8</v>
      </c>
      <c r="H12" s="2">
        <f t="shared" si="4"/>
        <v>-250391.12149325173</v>
      </c>
      <c r="I12" s="2">
        <v>60000</v>
      </c>
      <c r="J12" s="2">
        <f t="shared" si="2"/>
        <v>-9311.7336447975522</v>
      </c>
      <c r="K12" s="2">
        <f t="shared" si="3"/>
        <v>-319702.85513804929</v>
      </c>
    </row>
    <row r="13" spans="1:12" x14ac:dyDescent="0.35">
      <c r="A13">
        <v>1</v>
      </c>
      <c r="B13" s="2">
        <f t="shared" si="5"/>
        <v>209277.58622941459</v>
      </c>
      <c r="C13" s="2">
        <v>20000</v>
      </c>
      <c r="D13" s="2">
        <f t="shared" si="0"/>
        <v>6878.3275868824376</v>
      </c>
      <c r="E13" s="2">
        <v>236155.91381629702</v>
      </c>
      <c r="G13">
        <v>9</v>
      </c>
      <c r="H13" s="2">
        <f t="shared" si="4"/>
        <v>-319702.85513804929</v>
      </c>
      <c r="I13" s="2">
        <v>60000</v>
      </c>
      <c r="J13" s="2">
        <f t="shared" si="2"/>
        <v>-11391.085654141478</v>
      </c>
      <c r="K13" s="2">
        <f t="shared" si="3"/>
        <v>-391093.94079219078</v>
      </c>
    </row>
    <row r="14" spans="1:12" x14ac:dyDescent="0.35">
      <c r="H14" s="2"/>
      <c r="I14" s="2"/>
      <c r="J14" s="2"/>
      <c r="K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Travelstead</dc:creator>
  <cp:lastModifiedBy>Brian Travelstead</cp:lastModifiedBy>
  <dcterms:created xsi:type="dcterms:W3CDTF">2025-12-12T14:27:45Z</dcterms:created>
  <dcterms:modified xsi:type="dcterms:W3CDTF">2025-12-15T14:34:06Z</dcterms:modified>
</cp:coreProperties>
</file>